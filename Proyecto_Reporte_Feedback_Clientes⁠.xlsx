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Respuestas_Form" sheetId="1" r:id="rId5"/>
    <sheet state="visible" name="02_Analisis_Query" sheetId="2" r:id="rId6"/>
    <sheet state="visible" name="03_Dashboard" sheetId="3" r:id="rId7"/>
  </sheets>
  <definedNames>
    <definedName hidden="1" localSheetId="0" name="Z_847B4506_044A_4294_8C05_76EFF03F6E99_.wvu.FilterData">'01_Respuestas_Form'!$A$1:$G$9</definedName>
    <definedName name="SlicerCache_Table_1_Col_4">#N/A</definedName>
  </definedNames>
  <calcPr/>
  <customWorkbookViews>
    <customWorkbookView activeSheetId="0" maximized="1" windowHeight="0" windowWidth="0" guid="{847B4506-044A-4294-8C05-76EFF03F6E99}" name="Filtro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<sst xmlns="http://schemas.openxmlformats.org/spreadsheetml/2006/main" count="57" uniqueCount="38">
  <si>
    <t>Total Tickets Recibidos</t>
  </si>
  <si>
    <t>Total Quejas Graves</t>
  </si>
  <si>
    <t>Satisfacción Media</t>
  </si>
  <si>
    <t>Departamento</t>
  </si>
  <si>
    <t>COUNTA de ID_Ticket</t>
  </si>
  <si>
    <t>Logística</t>
  </si>
  <si>
    <t>Producto</t>
  </si>
  <si>
    <t>Soporte Técnico</t>
  </si>
  <si>
    <t>Ventas</t>
  </si>
  <si>
    <t>Suma total</t>
  </si>
  <si>
    <t>ID_Ticket</t>
  </si>
  <si>
    <t>Fecha</t>
  </si>
  <si>
    <t>Cliente</t>
  </si>
  <si>
    <t>Tipo_Feedback</t>
  </si>
  <si>
    <t>Puntuacion_CSAT</t>
  </si>
  <si>
    <t>Estado</t>
  </si>
  <si>
    <t>TCK-101</t>
  </si>
  <si>
    <t>Ana Gómez</t>
  </si>
  <si>
    <t>Queja</t>
  </si>
  <si>
    <t>Pendiente</t>
  </si>
  <si>
    <t>TCK-102</t>
  </si>
  <si>
    <t>Carlos Ruiz</t>
  </si>
  <si>
    <t>Felicitación</t>
  </si>
  <si>
    <t>Cerrado</t>
  </si>
  <si>
    <t>TCK-103</t>
  </si>
  <si>
    <t>Lucía Fernández</t>
  </si>
  <si>
    <t>Sugerencia</t>
  </si>
  <si>
    <t>En Proceso</t>
  </si>
  <si>
    <t>TCK-104</t>
  </si>
  <si>
    <t>Marcos Peña</t>
  </si>
  <si>
    <t>TCK-105</t>
  </si>
  <si>
    <t>Elena Blanco</t>
  </si>
  <si>
    <t>TCK-106</t>
  </si>
  <si>
    <t>Javier Martín</t>
  </si>
  <si>
    <t>TCK-107</t>
  </si>
  <si>
    <t>Sofía Torres</t>
  </si>
  <si>
    <t>TCK-108</t>
  </si>
  <si>
    <t>David Gil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</si>
</sst>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0"/>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165" xfId="0" applyFont="1" applyNumberFormat="1"/>
    <xf borderId="0" fillId="0" fontId="1" numFmtId="164" xfId="0" applyAlignment="1" applyFont="1" applyNumberForma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85725</xdr:colOff>
      <xdr:row>0</xdr:row>
      <xdr:rowOff>95250</xdr:rowOff>
    </xdr:from>
    <xdr:ext cx="2857500" cy="2857500"/>
    <mc:AlternateContent>
      <mc:Choice Requires="sle15">
        <xdr:graphicFrame>
          <xdr:nvGraphicFramePr>
            <xdr:cNvPr id="1" name="Tipo_Feedback_1"/>
            <xdr:cNvGraphicFramePr/>
          </xdr:nvGraphicFramePr>
          <xdr:xfrm>
            <a:off x="0" y="0"/>
            <a:ext cx="0" cy="0"/>
          </xdr:xfrm>
          <a:graphic>
            <a:graphicData uri="http://schemas.microsoft.com/office/drawing/2010/slicer">
              <x3Unk:slicer name="Tipo_Feedback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9" sheet="01_Respuestas_Form"/>
  </cacheSource>
  <cacheFields>
    <cacheField name="ID_Ticket" numFmtId="0">
      <sharedItems>
        <s v="TCK-101"/>
        <s v="TCK-102"/>
        <s v="TCK-103"/>
        <s v="TCK-104"/>
        <s v="TCK-105"/>
        <s v="TCK-106"/>
        <s v="TCK-107"/>
        <s v="TCK-108"/>
      </sharedItems>
    </cacheField>
    <cacheField name="Fecha" numFmtId="164">
      <sharedItems containsSemiMixedTypes="0" containsDate="1" containsString="0">
        <d v="2026-03-01T00:00:00Z"/>
        <d v="2026-03-02T00:00:00Z"/>
        <d v="2026-03-03T00:00:00Z"/>
        <d v="2026-03-04T00:00:00Z"/>
      </sharedItems>
    </cacheField>
    <cacheField name="Cliente" numFmtId="0">
      <sharedItems>
        <s v="Ana Gómez"/>
        <s v="Carlos Ruiz"/>
        <s v="Lucía Fernández"/>
        <s v="Marcos Peña"/>
        <s v="Elena Blanco"/>
        <s v="Javier Martín"/>
        <s v="Sofía Torres"/>
        <s v="David Gil"/>
      </sharedItems>
    </cacheField>
    <cacheField name="Tipo_Feedback" numFmtId="0">
      <sharedItems>
        <s v="Queja"/>
        <s v="Felicitación"/>
        <s v="Sugerencia"/>
      </sharedItems>
    </cacheField>
    <cacheField name="Departamento" numFmtId="0">
      <sharedItems>
        <s v="Soporte Técnico"/>
        <s v="Ventas"/>
        <s v="Producto"/>
        <s v="Logística"/>
      </sharedItems>
    </cacheField>
    <cacheField name="Puntuacion_CSAT" numFmtId="0">
      <sharedItems containsSemiMixedTypes="0" containsString="0" containsNumber="1" containsInteger="1">
        <n v="2.0"/>
        <n v="5.0"/>
        <n v="4.0"/>
        <n v="1.0"/>
        <n v="3.0"/>
      </sharedItems>
    </cacheField>
    <cacheField name="Estado" numFmtId="0">
      <sharedItems>
        <s v="Pendiente"/>
        <s v="Cerrado"/>
        <s v="En Proceso"/>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03_Dashboard" cacheId="0" dataCaption="" compact="0" compactData="0">
  <location ref="A6:B11" firstHeaderRow="0" firstDataRow="1" firstDataCol="0"/>
  <pivotFields>
    <pivotField name="ID_Ticket" dataField="1" compact="0" outline="0" multipleItemSelectionAllowed="1" showAll="0">
      <items>
        <item x="0"/>
        <item x="1"/>
        <item x="2"/>
        <item x="3"/>
        <item x="4"/>
        <item x="5"/>
        <item x="6"/>
        <item x="7"/>
        <item t="default"/>
      </items>
    </pivotField>
    <pivotField name="Fecha" compact="0" numFmtId="164" outline="0" multipleItemSelectionAllowed="1" showAll="0">
      <items>
        <item x="0"/>
        <item x="1"/>
        <item x="2"/>
        <item x="3"/>
        <item t="default"/>
      </items>
    </pivotField>
    <pivotField name="Cliente" compact="0" outline="0" multipleItemSelectionAllowed="1" showAll="0">
      <items>
        <item x="0"/>
        <item x="1"/>
        <item x="2"/>
        <item x="3"/>
        <item x="4"/>
        <item x="5"/>
        <item x="6"/>
        <item x="7"/>
        <item t="default"/>
      </items>
    </pivotField>
    <pivotField name="Tipo_Feedback" compact="0" outline="0" multipleItemSelectionAllowed="1" showAll="0">
      <items>
        <item x="0"/>
        <item x="1"/>
        <item x="2"/>
        <item t="default"/>
      </items>
    </pivotField>
    <pivotField name="Departamento" axis="axisRow" compact="0" outline="0" multipleItemSelectionAllowed="1" showAll="0" sortType="ascending">
      <items>
        <item x="3"/>
        <item x="2"/>
        <item x="0"/>
        <item x="1"/>
        <item t="default"/>
      </items>
    </pivotField>
    <pivotField name="Puntuacion_CSAT" compact="0" outline="0" multipleItemSelectionAllowed="1" showAll="0">
      <items>
        <item x="0"/>
        <item x="1"/>
        <item x="2"/>
        <item x="3"/>
        <item x="4"/>
        <item t="default"/>
      </items>
    </pivotField>
    <pivotField name="Estado" compact="0" outline="0" multipleItemSelectionAllowed="1" showAll="0">
      <items>
        <item x="0"/>
        <item x="1"/>
        <item x="2"/>
        <item t="default"/>
      </items>
    </pivotField>
  </pivotFields>
  <rowFields>
    <field x="4"/>
  </rowFields>
  <dataFields>
    <dataField name="COUNTA of ID_Ticket" fld="0"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Tipo_Feedback">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Tipo_Feedback_1" cache="SlicerCache_Table_1_Col_4" caption="Tipo_Feedback" rowHeight="247650"/>
</x14:slicers>
</file>

<file path=xl/tables/table1.xml><?xml version="1.0" encoding="utf-8"?>
<table xmlns="http://schemas.openxmlformats.org/spreadsheetml/2006/main" ref="A1:G9" displayName="Table_1" name="Table_1" id="1">
  <autoFilter ref="$A$1:$G$9"/>
  <tableColumns count="7">
    <tableColumn name="ID_Ticket" id="1"/>
    <tableColumn name="Fecha" id="2"/>
    <tableColumn name="Cliente" id="3"/>
    <tableColumn name="Tipo_Feedback" id="4"/>
    <tableColumn name="Departamento" id="5"/>
    <tableColumn name="Puntuacion_CSAT" id="6"/>
    <tableColumn name="Estado" id="7"/>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 Id="rId3"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v>
      </c>
      <c r="B1" s="1" t="s">
        <v>11</v>
      </c>
      <c r="C1" s="1" t="s">
        <v>12</v>
      </c>
      <c r="D1" s="1" t="s">
        <v>13</v>
      </c>
      <c r="E1" s="1" t="s">
        <v>3</v>
      </c>
      <c r="F1" s="1" t="s">
        <v>14</v>
      </c>
      <c r="G1" s="1" t="s">
        <v>15</v>
      </c>
    </row>
    <row r="2">
      <c r="A2" s="1" t="s">
        <v>16</v>
      </c>
      <c r="B2" s="4">
        <v>46082.0</v>
      </c>
      <c r="C2" s="1" t="s">
        <v>17</v>
      </c>
      <c r="D2" s="1" t="s">
        <v>18</v>
      </c>
      <c r="E2" s="1" t="s">
        <v>7</v>
      </c>
      <c r="F2" s="1">
        <v>2.0</v>
      </c>
      <c r="G2" s="1" t="s">
        <v>19</v>
      </c>
    </row>
    <row r="3">
      <c r="A3" s="1" t="s">
        <v>20</v>
      </c>
      <c r="B3" s="4">
        <v>46082.0</v>
      </c>
      <c r="C3" s="1" t="s">
        <v>21</v>
      </c>
      <c r="D3" s="1" t="s">
        <v>22</v>
      </c>
      <c r="E3" s="1" t="s">
        <v>8</v>
      </c>
      <c r="F3" s="1">
        <v>5.0</v>
      </c>
      <c r="G3" s="1" t="s">
        <v>23</v>
      </c>
    </row>
    <row r="4">
      <c r="A4" s="1" t="s">
        <v>24</v>
      </c>
      <c r="B4" s="4">
        <v>46083.0</v>
      </c>
      <c r="C4" s="1" t="s">
        <v>25</v>
      </c>
      <c r="D4" s="1" t="s">
        <v>26</v>
      </c>
      <c r="E4" s="1" t="s">
        <v>6</v>
      </c>
      <c r="F4" s="1">
        <v>4.0</v>
      </c>
      <c r="G4" s="1" t="s">
        <v>27</v>
      </c>
    </row>
    <row r="5">
      <c r="A5" s="1" t="s">
        <v>28</v>
      </c>
      <c r="B5" s="4">
        <v>46083.0</v>
      </c>
      <c r="C5" s="1" t="s">
        <v>29</v>
      </c>
      <c r="D5" s="1" t="s">
        <v>18</v>
      </c>
      <c r="E5" s="1" t="s">
        <v>5</v>
      </c>
      <c r="F5" s="1">
        <v>1.0</v>
      </c>
      <c r="G5" s="1" t="s">
        <v>19</v>
      </c>
    </row>
    <row r="6">
      <c r="A6" s="1" t="s">
        <v>30</v>
      </c>
      <c r="B6" s="4">
        <v>46084.0</v>
      </c>
      <c r="C6" s="1" t="s">
        <v>31</v>
      </c>
      <c r="D6" s="1" t="s">
        <v>26</v>
      </c>
      <c r="E6" s="1" t="s">
        <v>7</v>
      </c>
      <c r="F6" s="1">
        <v>3.0</v>
      </c>
      <c r="G6" s="1" t="s">
        <v>23</v>
      </c>
    </row>
    <row r="7">
      <c r="A7" s="1" t="s">
        <v>32</v>
      </c>
      <c r="B7" s="4">
        <v>46084.0</v>
      </c>
      <c r="C7" s="1" t="s">
        <v>33</v>
      </c>
      <c r="D7" s="1" t="s">
        <v>18</v>
      </c>
      <c r="E7" s="1" t="s">
        <v>5</v>
      </c>
      <c r="F7" s="1">
        <v>2.0</v>
      </c>
      <c r="G7" s="1" t="s">
        <v>27</v>
      </c>
    </row>
    <row r="8">
      <c r="A8" s="1" t="s">
        <v>34</v>
      </c>
      <c r="B8" s="4">
        <v>46085.0</v>
      </c>
      <c r="C8" s="1" t="s">
        <v>35</v>
      </c>
      <c r="D8" s="1" t="s">
        <v>22</v>
      </c>
      <c r="E8" s="1" t="s">
        <v>7</v>
      </c>
      <c r="F8" s="1">
        <v>5.0</v>
      </c>
      <c r="G8" s="1" t="s">
        <v>23</v>
      </c>
    </row>
    <row r="9">
      <c r="A9" s="1" t="s">
        <v>36</v>
      </c>
      <c r="B9" s="4">
        <v>46085.0</v>
      </c>
      <c r="C9" s="1" t="s">
        <v>37</v>
      </c>
      <c r="D9" s="1" t="s">
        <v>18</v>
      </c>
      <c r="E9" s="1" t="s">
        <v>8</v>
      </c>
      <c r="F9" s="1">
        <v>1.0</v>
      </c>
      <c r="G9" s="1" t="s">
        <v>19</v>
      </c>
    </row>
  </sheetData>
  <customSheetViews>
    <customSheetView guid="{847B4506-044A-4294-8C05-76EFF03F6E99}" filter="1" showAutoFilter="1">
      <autoFilter ref="$A$1:$G$9"/>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IFERROR(__xludf.DUMMYFUNCTION("QUERY('01_Respuestas_Form'!A:G, ""SELECT A, C, D, E, F WHERE D = 'Queja' ORDER BY F ASC"", 1)"),"ID_Ticket")</f>
        <v>ID_Ticket</v>
      </c>
      <c r="B1" s="2" t="str">
        <f>IFERROR(__xludf.DUMMYFUNCTION("""COMPUTED_VALUE"""),"Cliente")</f>
        <v>Cliente</v>
      </c>
      <c r="C1" s="2" t="str">
        <f>IFERROR(__xludf.DUMMYFUNCTION("""COMPUTED_VALUE"""),"Tipo_Feedback")</f>
        <v>Tipo_Feedback</v>
      </c>
      <c r="D1" s="2" t="str">
        <f>IFERROR(__xludf.DUMMYFUNCTION("""COMPUTED_VALUE"""),"Departamento")</f>
        <v>Departamento</v>
      </c>
      <c r="E1" s="2" t="str">
        <f>IFERROR(__xludf.DUMMYFUNCTION("""COMPUTED_VALUE"""),"Puntuacion_CSAT")</f>
        <v>Puntuacion_CSAT</v>
      </c>
    </row>
    <row r="2">
      <c r="A2" s="2" t="str">
        <f>IFERROR(__xludf.DUMMYFUNCTION("""COMPUTED_VALUE"""),"TCK-104")</f>
        <v>TCK-104</v>
      </c>
      <c r="B2" s="2" t="str">
        <f>IFERROR(__xludf.DUMMYFUNCTION("""COMPUTED_VALUE"""),"Marcos Peña")</f>
        <v>Marcos Peña</v>
      </c>
      <c r="C2" s="2" t="str">
        <f>IFERROR(__xludf.DUMMYFUNCTION("""COMPUTED_VALUE"""),"Queja")</f>
        <v>Queja</v>
      </c>
      <c r="D2" s="2" t="str">
        <f>IFERROR(__xludf.DUMMYFUNCTION("""COMPUTED_VALUE"""),"Logística")</f>
        <v>Logística</v>
      </c>
      <c r="E2" s="2">
        <f>IFERROR(__xludf.DUMMYFUNCTION("""COMPUTED_VALUE"""),1.0)</f>
        <v>1</v>
      </c>
    </row>
    <row r="3">
      <c r="A3" s="2" t="str">
        <f>IFERROR(__xludf.DUMMYFUNCTION("""COMPUTED_VALUE"""),"TCK-108")</f>
        <v>TCK-108</v>
      </c>
      <c r="B3" s="2" t="str">
        <f>IFERROR(__xludf.DUMMYFUNCTION("""COMPUTED_VALUE"""),"David Gil")</f>
        <v>David Gil</v>
      </c>
      <c r="C3" s="2" t="str">
        <f>IFERROR(__xludf.DUMMYFUNCTION("""COMPUTED_VALUE"""),"Queja")</f>
        <v>Queja</v>
      </c>
      <c r="D3" s="2" t="str">
        <f>IFERROR(__xludf.DUMMYFUNCTION("""COMPUTED_VALUE"""),"Ventas")</f>
        <v>Ventas</v>
      </c>
      <c r="E3" s="2">
        <f>IFERROR(__xludf.DUMMYFUNCTION("""COMPUTED_VALUE"""),1.0)</f>
        <v>1</v>
      </c>
    </row>
    <row r="4">
      <c r="A4" s="2" t="str">
        <f>IFERROR(__xludf.DUMMYFUNCTION("""COMPUTED_VALUE"""),"TCK-101")</f>
        <v>TCK-101</v>
      </c>
      <c r="B4" s="2" t="str">
        <f>IFERROR(__xludf.DUMMYFUNCTION("""COMPUTED_VALUE"""),"Ana Gómez")</f>
        <v>Ana Gómez</v>
      </c>
      <c r="C4" s="2" t="str">
        <f>IFERROR(__xludf.DUMMYFUNCTION("""COMPUTED_VALUE"""),"Queja")</f>
        <v>Queja</v>
      </c>
      <c r="D4" s="2" t="str">
        <f>IFERROR(__xludf.DUMMYFUNCTION("""COMPUTED_VALUE"""),"Soporte Técnico")</f>
        <v>Soporte Técnico</v>
      </c>
      <c r="E4" s="2">
        <f>IFERROR(__xludf.DUMMYFUNCTION("""COMPUTED_VALUE"""),2.0)</f>
        <v>2</v>
      </c>
    </row>
    <row r="5">
      <c r="A5" s="2" t="str">
        <f>IFERROR(__xludf.DUMMYFUNCTION("""COMPUTED_VALUE"""),"TCK-106")</f>
        <v>TCK-106</v>
      </c>
      <c r="B5" s="2" t="str">
        <f>IFERROR(__xludf.DUMMYFUNCTION("""COMPUTED_VALUE"""),"Javier Martín")</f>
        <v>Javier Martín</v>
      </c>
      <c r="C5" s="2" t="str">
        <f>IFERROR(__xludf.DUMMYFUNCTION("""COMPUTED_VALUE"""),"Queja")</f>
        <v>Queja</v>
      </c>
      <c r="D5" s="2" t="str">
        <f>IFERROR(__xludf.DUMMYFUNCTION("""COMPUTED_VALUE"""),"Logística")</f>
        <v>Logística</v>
      </c>
      <c r="E5" s="2">
        <f>IFERROR(__xludf.DUMMYFUNCTION("""COMPUTED_VALUE"""),2.0)</f>
        <v>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s>
  <sheetData>
    <row r="1">
      <c r="A1" s="1" t="s">
        <v>0</v>
      </c>
      <c r="B1" s="2">
        <f>COUNTA('01_Respuestas_Form'!A2:A9)</f>
        <v>8</v>
      </c>
    </row>
    <row r="2">
      <c r="A2" s="1" t="s">
        <v>1</v>
      </c>
      <c r="B2" s="2">
        <f>COUNTIF('01_Respuestas_Form'!D2:D9, "Queja")</f>
        <v>4</v>
      </c>
    </row>
    <row r="3">
      <c r="A3" s="1" t="s">
        <v>2</v>
      </c>
      <c r="B3" s="3">
        <f>AVERAGE('01_Respuestas_Form'!F2:F9)</f>
        <v>2.875</v>
      </c>
    </row>
    <row r="6"/>
    <row r="7"/>
    <row r="8"/>
    <row r="9"/>
    <row r="10"/>
    <row r="11"/>
  </sheetData>
  <drawing r:id="rId2"/>
  <extLst>
    <ext uri="{3A4CF648-6AED-40f4-86FF-DC5316D8AED3}">
      <x14:slicerList>
        <x14:slicer r:id="rId3"/>
      </x14:slicerList>
    </ext>
  </extLst>
</worksheet>
</file>